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Formulas" sheetId="1" state="visible" r:id="rId1"/>
    <sheet xmlns:r="http://schemas.openxmlformats.org/officeDocument/2006/relationships" name="Logic &amp; Text Formulas" sheetId="2" state="visible" r:id="rId2"/>
    <sheet xmlns:r="http://schemas.openxmlformats.org/officeDocument/2006/relationships" name="Lookup &amp; Reference" sheetId="3" state="visible" r:id="rId3"/>
    <sheet xmlns:r="http://schemas.openxmlformats.org/officeDocument/2006/relationships" name="Date &amp; Time Formulas" sheetId="4" state="visible" r:id="rId4"/>
    <sheet xmlns:r="http://schemas.openxmlformats.org/officeDocument/2006/relationships" name="Complex Nested Formulas" sheetId="5" state="visible" r:id="rId5"/>
    <sheet xmlns:r="http://schemas.openxmlformats.org/officeDocument/2006/relationships" name="Math &amp;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</font>
    <font>
      <b val="1"/>
      <color rgb="001F4E78"/>
      <sz val="14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center"/>
    </xf>
    <xf numFmtId="0" fontId="3" fillId="4" borderId="0" pivotButton="0" quotePrefix="0" xfId="0"/>
    <xf numFmtId="10" fontId="0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Financial Summary Report</t>
        </is>
      </c>
    </row>
    <row r="3">
      <c r="A3" s="2" t="inlineStr">
        <is>
          <t>Item</t>
        </is>
      </c>
      <c r="B3" s="2" t="inlineStr">
        <is>
          <t>Q1 Revenue</t>
        </is>
      </c>
      <c r="C3" s="2" t="inlineStr">
        <is>
          <t>Q2 Revenue</t>
        </is>
      </c>
      <c r="D3" s="2" t="inlineStr">
        <is>
          <t>Q3 Revenue</t>
        </is>
      </c>
      <c r="E3" s="2" t="inlineStr">
        <is>
          <t>Q4 Revenue</t>
        </is>
      </c>
      <c r="F3" s="2" t="inlineStr">
        <is>
          <t>Total</t>
        </is>
      </c>
    </row>
    <row r="4">
      <c r="A4" t="inlineStr">
        <is>
          <t>Product A - Electronics</t>
        </is>
      </c>
      <c r="B4" t="n">
        <v>12500</v>
      </c>
      <c r="C4" t="n">
        <v>14200</v>
      </c>
      <c r="D4" t="n">
        <v>13800</v>
      </c>
      <c r="E4" t="n">
        <v>16500</v>
      </c>
      <c r="F4" s="3">
        <f>SUM(B4:E4)</f>
        <v/>
      </c>
    </row>
    <row r="5">
      <c r="A5" t="inlineStr">
        <is>
          <t>Product B - Software License</t>
        </is>
      </c>
      <c r="B5" t="n">
        <v>8900</v>
      </c>
      <c r="C5" t="n">
        <v>10200</v>
      </c>
      <c r="D5" t="n">
        <v>11500</v>
      </c>
      <c r="E5" t="n">
        <v>12800</v>
      </c>
      <c r="F5" s="3">
        <f>SUM(B5:E5)</f>
        <v/>
      </c>
    </row>
    <row r="6">
      <c r="A6" t="inlineStr">
        <is>
          <t>Product C - Consulting Services</t>
        </is>
      </c>
      <c r="B6" t="n">
        <v>5600</v>
      </c>
      <c r="C6" t="n">
        <v>6800</v>
      </c>
      <c r="D6" t="n">
        <v>7200</v>
      </c>
      <c r="E6" t="n">
        <v>8500</v>
      </c>
      <c r="F6" s="3">
        <f>SUM(B6:E6)</f>
        <v/>
      </c>
    </row>
    <row r="7">
      <c r="A7" t="inlineStr">
        <is>
          <t>Product D - Maintenance Contract</t>
        </is>
      </c>
      <c r="B7" t="n">
        <v>3200</v>
      </c>
      <c r="C7" t="n">
        <v>3400</v>
      </c>
      <c r="D7" t="n">
        <v>3600</v>
      </c>
      <c r="E7" t="n">
        <v>3800</v>
      </c>
      <c r="F7" s="3">
        <f>SUM(B7:E7)</f>
        <v/>
      </c>
    </row>
    <row r="8">
      <c r="A8" t="inlineStr">
        <is>
          <t>Product E - Training Program</t>
        </is>
      </c>
      <c r="B8" t="n">
        <v>2100</v>
      </c>
      <c r="C8" t="n">
        <v>2800</v>
      </c>
      <c r="D8" t="n">
        <v>3100</v>
      </c>
      <c r="E8" t="n">
        <v>3500</v>
      </c>
      <c r="F8" s="3">
        <f>SUM(B8:E8)</f>
        <v/>
      </c>
    </row>
    <row r="9">
      <c r="A9" s="3" t="inlineStr">
        <is>
          <t>Grand Total</t>
        </is>
      </c>
      <c r="B9" s="4">
        <f>SUM(B4:B8)</f>
        <v/>
      </c>
      <c r="C9" s="4">
        <f>SUM(C4:C8)</f>
        <v/>
      </c>
      <c r="D9" s="4">
        <f>SUM(D4:D8)</f>
        <v/>
      </c>
      <c r="E9" s="4">
        <f>SUM(E4:E8)</f>
        <v/>
      </c>
      <c r="F9" s="4">
        <f>SUM(F4:F8)</f>
        <v/>
      </c>
    </row>
    <row r="11">
      <c r="A11" s="5" t="inlineStr">
        <is>
          <t>Growth Analysis</t>
        </is>
      </c>
    </row>
    <row r="12">
      <c r="A12" s="6" t="inlineStr">
        <is>
          <t>Item</t>
        </is>
      </c>
      <c r="B12" s="6" t="inlineStr">
        <is>
          <t>Q1 to Q4 Growth Rate</t>
        </is>
      </c>
      <c r="C12" s="6" t="inlineStr">
        <is>
          <t>Average Quarterly Revenue</t>
        </is>
      </c>
      <c r="D12" s="6" t="inlineStr">
        <is>
          <t>Max Quarter</t>
        </is>
      </c>
      <c r="E12" s="6" t="inlineStr">
        <is>
          <t>Min Quarter</t>
        </is>
      </c>
      <c r="F12" s="6" t="inlineStr">
        <is>
          <t>Standard Deviation</t>
        </is>
      </c>
    </row>
    <row r="13">
      <c r="A13" t="inlineStr">
        <is>
          <t>Product A - Electronics</t>
        </is>
      </c>
      <c r="B13">
        <f>((E4-B4)/B4)</f>
        <v/>
      </c>
      <c r="C13">
        <f>AVERAGE(B4:E4)</f>
        <v/>
      </c>
      <c r="D13">
        <f>MAX(B4:E4)</f>
        <v/>
      </c>
      <c r="E13">
        <f>MIN(B4:E4)</f>
        <v/>
      </c>
      <c r="F13">
        <f>STDEV.P(B4:E4)</f>
        <v/>
      </c>
    </row>
    <row r="14">
      <c r="A14" t="inlineStr">
        <is>
          <t>Product B - Software License</t>
        </is>
      </c>
      <c r="B14">
        <f>((E5-B5)/B5)</f>
        <v/>
      </c>
      <c r="C14">
        <f>AVERAGE(B5:E5)</f>
        <v/>
      </c>
      <c r="D14">
        <f>MAX(B5:E5)</f>
        <v/>
      </c>
      <c r="E14">
        <f>MIN(B5:E5)</f>
        <v/>
      </c>
      <c r="F14">
        <f>STDEV.P(B5:E5)</f>
        <v/>
      </c>
    </row>
    <row r="15">
      <c r="A15" t="inlineStr">
        <is>
          <t>Product C - Consulting Services</t>
        </is>
      </c>
      <c r="B15">
        <f>((E6-B6)/B6)</f>
        <v/>
      </c>
      <c r="C15">
        <f>AVERAGE(B6:E6)</f>
        <v/>
      </c>
      <c r="D15">
        <f>MAX(B6:E6)</f>
        <v/>
      </c>
      <c r="E15">
        <f>MIN(B6:E6)</f>
        <v/>
      </c>
      <c r="F15">
        <f>STDEV.P(B6:E6)</f>
        <v/>
      </c>
    </row>
    <row r="16">
      <c r="A16" t="inlineStr">
        <is>
          <t>Product D - Maintenance Contract</t>
        </is>
      </c>
      <c r="B16">
        <f>((E7-B7)/B7)</f>
        <v/>
      </c>
      <c r="C16">
        <f>AVERAGE(B7:E7)</f>
        <v/>
      </c>
      <c r="D16">
        <f>MAX(B7:E7)</f>
        <v/>
      </c>
      <c r="E16">
        <f>MIN(B7:E7)</f>
        <v/>
      </c>
      <c r="F16">
        <f>STDEV.P(B7:E7)</f>
        <v/>
      </c>
    </row>
    <row r="17">
      <c r="A17" t="inlineStr">
        <is>
          <t>Product E - Training Program</t>
        </is>
      </c>
      <c r="B17">
        <f>((E8-B8)/B8)</f>
        <v/>
      </c>
      <c r="C17">
        <f>AVERAGE(B8:E8)</f>
        <v/>
      </c>
      <c r="D17">
        <f>MAX(B8:E8)</f>
        <v/>
      </c>
      <c r="E17">
        <f>MIN(B8:E8)</f>
        <v/>
      </c>
      <c r="F17">
        <f>STDEV.P(B8:E8)</f>
        <v/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Employee Performance Evaluation</t>
        </is>
      </c>
    </row>
    <row r="3">
      <c r="A3" s="2" t="inlineStr">
        <is>
          <t>Employee ID</t>
        </is>
      </c>
      <c r="B3" s="2" t="inlineStr">
        <is>
          <t>Full Name</t>
        </is>
      </c>
      <c r="C3" s="2" t="inlineStr">
        <is>
          <t>Department</t>
        </is>
      </c>
      <c r="D3" s="2" t="inlineStr">
        <is>
          <t>Sales Target</t>
        </is>
      </c>
      <c r="E3" s="2" t="inlineStr">
        <is>
          <t>Actual Sales</t>
        </is>
      </c>
      <c r="F3" s="2" t="inlineStr">
        <is>
          <t>Achievement Rate</t>
        </is>
      </c>
      <c r="G3" s="2" t="inlineStr">
        <is>
          <t>Performance Grade</t>
        </is>
      </c>
      <c r="H3" s="2" t="inlineStr">
        <is>
          <t>Bonus Eligibility</t>
        </is>
      </c>
    </row>
    <row r="4">
      <c r="A4" t="inlineStr">
        <is>
          <t>EMP001</t>
        </is>
      </c>
      <c r="B4" t="inlineStr">
        <is>
          <t>John Smith</t>
        </is>
      </c>
      <c r="C4" t="inlineStr">
        <is>
          <t>Sales</t>
        </is>
      </c>
      <c r="D4" t="n">
        <v>50000</v>
      </c>
      <c r="E4" t="n">
        <v>62000</v>
      </c>
      <c r="F4" s="7">
        <f>E4/D4</f>
        <v/>
      </c>
      <c r="G4">
        <f>IF(F4&gt;=1.2,"Excellent",IF(F4&gt;=1.0,"Good",IF(F4&gt;=0.8,"Average","Needs Improvement")))</f>
        <v/>
      </c>
      <c r="H4">
        <f>IF(AND(F4&gt;=1.0,G4&lt;&gt;"Needs Improvement"),"Eligible","Not Eligible")</f>
        <v/>
      </c>
    </row>
    <row r="5">
      <c r="A5" t="inlineStr">
        <is>
          <t>EMP002</t>
        </is>
      </c>
      <c r="B5" t="inlineStr">
        <is>
          <t>Sarah Johnson</t>
        </is>
      </c>
      <c r="C5" t="inlineStr">
        <is>
          <t>Marketing</t>
        </is>
      </c>
      <c r="D5" t="n">
        <v>45000</v>
      </c>
      <c r="E5" t="n">
        <v>38000</v>
      </c>
      <c r="F5" s="7">
        <f>E5/D5</f>
        <v/>
      </c>
      <c r="G5">
        <f>IF(F5&gt;=1.2,"Excellent",IF(F5&gt;=1.0,"Good",IF(F5&gt;=0.8,"Average","Needs Improvement")))</f>
        <v/>
      </c>
      <c r="H5">
        <f>IF(AND(F5&gt;=1.0,G5&lt;&gt;"Needs Improvement"),"Eligible","Not Eligible")</f>
        <v/>
      </c>
    </row>
    <row r="6">
      <c r="A6" t="inlineStr">
        <is>
          <t>EMP003</t>
        </is>
      </c>
      <c r="B6" t="inlineStr">
        <is>
          <t>Michael Brown</t>
        </is>
      </c>
      <c r="C6" t="inlineStr">
        <is>
          <t>Sales</t>
        </is>
      </c>
      <c r="D6" t="n">
        <v>55000</v>
      </c>
      <c r="E6" t="n">
        <v>71000</v>
      </c>
      <c r="F6" s="7">
        <f>E6/D6</f>
        <v/>
      </c>
      <c r="G6">
        <f>IF(F6&gt;=1.2,"Excellent",IF(F6&gt;=1.0,"Good",IF(F6&gt;=0.8,"Average","Needs Improvement")))</f>
        <v/>
      </c>
      <c r="H6">
        <f>IF(AND(F6&gt;=1.0,G6&lt;&gt;"Needs Improvement"),"Eligible","Not Eligible")</f>
        <v/>
      </c>
    </row>
    <row r="7">
      <c r="A7" t="inlineStr">
        <is>
          <t>EMP004</t>
        </is>
      </c>
      <c r="B7" t="inlineStr">
        <is>
          <t>Emily Davis</t>
        </is>
      </c>
      <c r="C7" t="inlineStr">
        <is>
          <t>IT</t>
        </is>
      </c>
      <c r="D7" t="n">
        <v>40000</v>
      </c>
      <c r="E7" t="n">
        <v>42000</v>
      </c>
      <c r="F7" s="7">
        <f>E7/D7</f>
        <v/>
      </c>
      <c r="G7">
        <f>IF(F7&gt;=1.2,"Excellent",IF(F7&gt;=1.0,"Good",IF(F7&gt;=0.8,"Average","Needs Improvement")))</f>
        <v/>
      </c>
      <c r="H7">
        <f>IF(AND(F7&gt;=1.0,G7&lt;&gt;"Needs Improvement"),"Eligible","Not Eligible")</f>
        <v/>
      </c>
    </row>
    <row r="8">
      <c r="A8" t="inlineStr">
        <is>
          <t>EMP005</t>
        </is>
      </c>
      <c r="B8" t="inlineStr">
        <is>
          <t>Robert Wilson</t>
        </is>
      </c>
      <c r="C8" t="inlineStr">
        <is>
          <t>Marketing</t>
        </is>
      </c>
      <c r="D8" t="n">
        <v>48000</v>
      </c>
      <c r="E8" t="n">
        <v>51000</v>
      </c>
      <c r="F8" s="7">
        <f>E8/D8</f>
        <v/>
      </c>
      <c r="G8">
        <f>IF(F8&gt;=1.2,"Excellent",IF(F8&gt;=1.0,"Good",IF(F8&gt;=0.8,"Average","Needs Improvement")))</f>
        <v/>
      </c>
      <c r="H8">
        <f>IF(AND(F8&gt;=1.0,G8&lt;&gt;"Needs Improvement"),"Eligible","Not Eligible")</f>
        <v/>
      </c>
    </row>
    <row r="9">
      <c r="A9" t="inlineStr">
        <is>
          <t>EMP006</t>
        </is>
      </c>
      <c r="B9" t="inlineStr">
        <is>
          <t>Lisa Anderson</t>
        </is>
      </c>
      <c r="C9" t="inlineStr">
        <is>
          <t>Sales</t>
        </is>
      </c>
      <c r="D9" t="n">
        <v>60000</v>
      </c>
      <c r="E9" t="n">
        <v>58000</v>
      </c>
      <c r="F9" s="7">
        <f>E9/D9</f>
        <v/>
      </c>
      <c r="G9">
        <f>IF(F9&gt;=1.2,"Excellent",IF(F9&gt;=1.0,"Good",IF(F9&gt;=0.8,"Average","Needs Improvement")))</f>
        <v/>
      </c>
      <c r="H9">
        <f>IF(AND(F9&gt;=1.0,G9&lt;&gt;"Needs Improvement"),"Eligible","Not Eligible")</f>
        <v/>
      </c>
    </row>
    <row r="10">
      <c r="A10" t="inlineStr">
        <is>
          <t>EMP007</t>
        </is>
      </c>
      <c r="B10" t="inlineStr">
        <is>
          <t>David Martinez</t>
        </is>
      </c>
      <c r="C10" t="inlineStr">
        <is>
          <t>IT</t>
        </is>
      </c>
      <c r="D10" t="n">
        <v>42000</v>
      </c>
      <c r="E10" t="n">
        <v>39000</v>
      </c>
      <c r="F10" s="7">
        <f>E10/D10</f>
        <v/>
      </c>
      <c r="G10">
        <f>IF(F10&gt;=1.2,"Excellent",IF(F10&gt;=1.0,"Good",IF(F10&gt;=0.8,"Average","Needs Improvement")))</f>
        <v/>
      </c>
      <c r="H10">
        <f>IF(AND(F10&gt;=1.0,G10&lt;&gt;"Needs Improvement"),"Eligible","Not Eligible")</f>
        <v/>
      </c>
    </row>
    <row r="11">
      <c r="A11" t="inlineStr">
        <is>
          <t>EMP008</t>
        </is>
      </c>
      <c r="B11" t="inlineStr">
        <is>
          <t>Jennifer Taylor</t>
        </is>
      </c>
      <c r="C11" t="inlineStr">
        <is>
          <t>HR</t>
        </is>
      </c>
      <c r="D11" t="n">
        <v>35000</v>
      </c>
      <c r="E11" t="n">
        <v>37000</v>
      </c>
      <c r="F11" s="7">
        <f>E11/D11</f>
        <v/>
      </c>
      <c r="G11">
        <f>IF(F11&gt;=1.2,"Excellent",IF(F11&gt;=1.0,"Good",IF(F11&gt;=0.8,"Average","Needs Improvement")))</f>
        <v/>
      </c>
      <c r="H11">
        <f>IF(AND(F11&gt;=1.0,G11&lt;&gt;"Needs Improvement"),"Eligible","Not Eligible")</f>
        <v/>
      </c>
    </row>
    <row r="13">
      <c r="A13" s="5" t="inlineStr">
        <is>
          <t>Department Statistics</t>
        </is>
      </c>
    </row>
    <row r="14">
      <c r="A14" s="6" t="inlineStr">
        <is>
          <t>Department</t>
        </is>
      </c>
      <c r="B14" s="6" t="inlineStr">
        <is>
          <t>Total Employees</t>
        </is>
      </c>
      <c r="C14" s="6" t="inlineStr">
        <is>
          <t>Total Sales</t>
        </is>
      </c>
      <c r="D14" s="6" t="inlineStr">
        <is>
          <t>Average Achievement</t>
        </is>
      </c>
      <c r="E14" s="6" t="inlineStr">
        <is>
          <t>Top Performer</t>
        </is>
      </c>
    </row>
    <row r="15">
      <c r="A15" t="inlineStr">
        <is>
          <t>Sales</t>
        </is>
      </c>
      <c r="B15">
        <f>COUNTIF(C4:C11,"Sales")</f>
        <v/>
      </c>
      <c r="C15">
        <f>SUMIF(C4:C11,"Sales",E4:E11)</f>
        <v/>
      </c>
      <c r="D15" s="7">
        <f>AVERAGEIF(C4:C11,"Sales",F4:F11)</f>
        <v/>
      </c>
      <c r="E15">
        <f>INDEX(B4:B11,MATCH(MAXIFS(F4:F11,C4:C11,"Sales"),F4:F11,0))</f>
        <v/>
      </c>
    </row>
    <row r="16">
      <c r="A16" t="inlineStr">
        <is>
          <t>Marketing</t>
        </is>
      </c>
      <c r="B16">
        <f>COUNTIF(C4:C11,"Marketing")</f>
        <v/>
      </c>
      <c r="C16">
        <f>SUMIF(C4:C11,"Marketing",E4:E11)</f>
        <v/>
      </c>
      <c r="D16" s="7">
        <f>AVERAGEIF(C4:C11,"Marketing",F4:F11)</f>
        <v/>
      </c>
      <c r="E16">
        <f>INDEX(B4:B11,MATCH(MAXIFS(F4:F11,C4:C11,"Marketing"),F4:F11,0))</f>
        <v/>
      </c>
    </row>
    <row r="17">
      <c r="A17" t="inlineStr">
        <is>
          <t>IT</t>
        </is>
      </c>
      <c r="B17">
        <f>COUNTIF(C4:C11,"IT")</f>
        <v/>
      </c>
      <c r="C17">
        <f>SUMIF(C4:C11,"IT",E4:E11)</f>
        <v/>
      </c>
      <c r="D17" s="7">
        <f>AVERAGEIF(C4:C11,"IT",F4:F11)</f>
        <v/>
      </c>
      <c r="E17">
        <f>INDEX(B4:B11,MATCH(MAXIFS(F4:F11,C4:C11,"IT"),F4:F11,0))</f>
        <v/>
      </c>
    </row>
    <row r="18">
      <c r="A18" t="inlineStr">
        <is>
          <t>HR</t>
        </is>
      </c>
      <c r="B18">
        <f>COUNTIF(C4:C11,"HR")</f>
        <v/>
      </c>
      <c r="C18">
        <f>SUMIF(C4:C11,"HR",E4:E11)</f>
        <v/>
      </c>
      <c r="D18" s="7">
        <f>AVERAGEIF(C4:C11,"HR",F4:F11)</f>
        <v/>
      </c>
      <c r="E18">
        <f>INDEX(B4:B11,MATCH(MAXIFS(F4:F11,C4:C11,"HR"),F4:F11,0))</f>
        <v/>
      </c>
    </row>
  </sheetData>
  <mergeCells count="2"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Product Inventory &amp; Pricing</t>
        </is>
      </c>
    </row>
    <row r="3">
      <c r="A3" s="8" t="inlineStr">
        <is>
          <t>Product Catalog</t>
        </is>
      </c>
      <c r="G3" s="8" t="inlineStr">
        <is>
          <t>Order Lookup</t>
        </is>
      </c>
    </row>
    <row r="4">
      <c r="A4" s="9" t="inlineStr">
        <is>
          <t>Product Code</t>
        </is>
      </c>
      <c r="B4" s="9" t="inlineStr">
        <is>
          <t>Product Name</t>
        </is>
      </c>
      <c r="C4" s="9" t="inlineStr">
        <is>
          <t>Category</t>
        </is>
      </c>
      <c r="D4" s="9" t="inlineStr">
        <is>
          <t>Unit Price</t>
        </is>
      </c>
      <c r="E4" s="9" t="inlineStr">
        <is>
          <t>Stock Quantity</t>
        </is>
      </c>
      <c r="G4" s="9" t="inlineStr">
        <is>
          <t>Order ID</t>
        </is>
      </c>
      <c r="H4" s="9" t="inlineStr">
        <is>
          <t>Product Code</t>
        </is>
      </c>
      <c r="I4" s="9" t="inlineStr">
        <is>
          <t>Quantity</t>
        </is>
      </c>
      <c r="J4" s="9" t="inlineStr">
        <is>
          <t>Unit Price (Lookup)</t>
        </is>
      </c>
      <c r="K4" s="9" t="inlineStr">
        <is>
          <t>Total Amount</t>
        </is>
      </c>
      <c r="L4" s="9" t="inlineStr">
        <is>
          <t>Stock Status</t>
        </is>
      </c>
    </row>
    <row r="5">
      <c r="A5" t="inlineStr">
        <is>
          <t>P001</t>
        </is>
      </c>
      <c r="B5" t="inlineStr">
        <is>
          <t>Wireless Mouse</t>
        </is>
      </c>
      <c r="C5" t="inlineStr">
        <is>
          <t>Electronics</t>
        </is>
      </c>
      <c r="D5" t="n">
        <v>29.99</v>
      </c>
      <c r="E5" t="n">
        <v>150</v>
      </c>
      <c r="G5" t="inlineStr">
        <is>
          <t>ORD001</t>
        </is>
      </c>
      <c r="H5" t="inlineStr">
        <is>
          <t>P003</t>
        </is>
      </c>
      <c r="I5" t="n">
        <v>2</v>
      </c>
      <c r="J5" s="10">
        <f>VLOOKUP(H5,A5:E12,4,FALSE)</f>
        <v/>
      </c>
      <c r="K5" s="10">
        <f>I5*J5</f>
        <v/>
      </c>
      <c r="L5">
        <f>IF(I5&lt;=INDEX(E5:E12,MATCH(H5,A5:A12,0)),"In Stock","Out of Stock")</f>
        <v/>
      </c>
    </row>
    <row r="6">
      <c r="A6" t="inlineStr">
        <is>
          <t>P002</t>
        </is>
      </c>
      <c r="B6" t="inlineStr">
        <is>
          <t>USB-C Cable</t>
        </is>
      </c>
      <c r="C6" t="inlineStr">
        <is>
          <t>Electronics</t>
        </is>
      </c>
      <c r="D6" t="n">
        <v>12.5</v>
      </c>
      <c r="E6" t="n">
        <v>300</v>
      </c>
      <c r="G6" t="inlineStr">
        <is>
          <t>ORD002</t>
        </is>
      </c>
      <c r="H6" t="inlineStr">
        <is>
          <t>P001</t>
        </is>
      </c>
      <c r="I6" t="n">
        <v>5</v>
      </c>
      <c r="J6" s="10">
        <f>VLOOKUP(H6,A5:E12,4,FALSE)</f>
        <v/>
      </c>
      <c r="K6" s="10">
        <f>I6*J6</f>
        <v/>
      </c>
      <c r="L6">
        <f>IF(I6&lt;=INDEX(E5:E12,MATCH(H6,A5:A12,0)),"In Stock","Out of Stock")</f>
        <v/>
      </c>
    </row>
    <row r="7">
      <c r="A7" t="inlineStr">
        <is>
          <t>P003</t>
        </is>
      </c>
      <c r="B7" t="inlineStr">
        <is>
          <t>Mechanical Keyboard</t>
        </is>
      </c>
      <c r="C7" t="inlineStr">
        <is>
          <t>Electronics</t>
        </is>
      </c>
      <c r="D7" t="n">
        <v>89.98999999999999</v>
      </c>
      <c r="E7" t="n">
        <v>75</v>
      </c>
      <c r="G7" t="inlineStr">
        <is>
          <t>ORD003</t>
        </is>
      </c>
      <c r="H7" t="inlineStr">
        <is>
          <t>P006</t>
        </is>
      </c>
      <c r="I7" t="n">
        <v>1</v>
      </c>
      <c r="J7" s="10">
        <f>VLOOKUP(H7,A5:E12,4,FALSE)</f>
        <v/>
      </c>
      <c r="K7" s="10">
        <f>I7*J7</f>
        <v/>
      </c>
      <c r="L7">
        <f>IF(I7&lt;=INDEX(E5:E12,MATCH(H7,A5:A12,0)),"In Stock","Out of Stock")</f>
        <v/>
      </c>
    </row>
    <row r="8">
      <c r="A8" t="inlineStr">
        <is>
          <t>P004</t>
        </is>
      </c>
      <c r="B8" t="inlineStr">
        <is>
          <t>Office Chair</t>
        </is>
      </c>
      <c r="C8" t="inlineStr">
        <is>
          <t>Furniture</t>
        </is>
      </c>
      <c r="D8" t="n">
        <v>249.99</v>
      </c>
      <c r="E8" t="n">
        <v>20</v>
      </c>
      <c r="G8" t="inlineStr">
        <is>
          <t>ORD004</t>
        </is>
      </c>
      <c r="H8" t="inlineStr">
        <is>
          <t>P002</t>
        </is>
      </c>
      <c r="I8" t="n">
        <v>10</v>
      </c>
      <c r="J8" s="10">
        <f>VLOOKUP(H8,A5:E12,4,FALSE)</f>
        <v/>
      </c>
      <c r="K8" s="10">
        <f>I8*J8</f>
        <v/>
      </c>
      <c r="L8">
        <f>IF(I8&lt;=INDEX(E5:E12,MATCH(H8,A5:A12,0)),"In Stock","Out of Stock")</f>
        <v/>
      </c>
    </row>
    <row r="9">
      <c r="A9" t="inlineStr">
        <is>
          <t>P005</t>
        </is>
      </c>
      <c r="B9" t="inlineStr">
        <is>
          <t>Standing Desk</t>
        </is>
      </c>
      <c r="C9" t="inlineStr">
        <is>
          <t>Furniture</t>
        </is>
      </c>
      <c r="D9" t="n">
        <v>399.99</v>
      </c>
      <c r="E9" t="n">
        <v>15</v>
      </c>
      <c r="G9" t="inlineStr">
        <is>
          <t>ORD005</t>
        </is>
      </c>
      <c r="H9" t="inlineStr">
        <is>
          <t>P005</t>
        </is>
      </c>
      <c r="I9" t="n">
        <v>3</v>
      </c>
      <c r="J9" s="10">
        <f>VLOOKUP(H9,A5:E12,4,FALSE)</f>
        <v/>
      </c>
      <c r="K9" s="10">
        <f>I9*J9</f>
        <v/>
      </c>
      <c r="L9">
        <f>IF(I9&lt;=INDEX(E5:E12,MATCH(H9,A5:A12,0)),"In Stock","Out of Stock")</f>
        <v/>
      </c>
    </row>
    <row r="10">
      <c r="A10" t="inlineStr">
        <is>
          <t>P006</t>
        </is>
      </c>
      <c r="B10" t="inlineStr">
        <is>
          <t>Monitor 27"</t>
        </is>
      </c>
      <c r="C10" t="inlineStr">
        <is>
          <t>Electronics</t>
        </is>
      </c>
      <c r="D10" t="n">
        <v>329.99</v>
      </c>
      <c r="E10" t="n">
        <v>45</v>
      </c>
      <c r="G10" t="inlineStr">
        <is>
          <t>ORD006</t>
        </is>
      </c>
      <c r="H10" t="inlineStr">
        <is>
          <t>P008</t>
        </is>
      </c>
      <c r="I10" t="n">
        <v>4</v>
      </c>
      <c r="J10" s="10">
        <f>VLOOKUP(H10,A5:E12,4,FALSE)</f>
        <v/>
      </c>
      <c r="K10" s="10">
        <f>I10*J10</f>
        <v/>
      </c>
      <c r="L10">
        <f>IF(I10&lt;=INDEX(E5:E12,MATCH(H10,A5:A12,0)),"In Stock","Out of Stock")</f>
        <v/>
      </c>
    </row>
    <row r="11">
      <c r="A11" t="inlineStr">
        <is>
          <t>P007</t>
        </is>
      </c>
      <c r="B11" t="inlineStr">
        <is>
          <t>Webcam HD</t>
        </is>
      </c>
      <c r="C11" t="inlineStr">
        <is>
          <t>Electronics</t>
        </is>
      </c>
      <c r="D11" t="n">
        <v>59.99</v>
      </c>
      <c r="E11" t="n">
        <v>100</v>
      </c>
    </row>
    <row r="12">
      <c r="A12" t="inlineStr">
        <is>
          <t>P008</t>
        </is>
      </c>
      <c r="B12" t="inlineStr">
        <is>
          <t>Desk Lamp LED</t>
        </is>
      </c>
      <c r="C12" t="inlineStr">
        <is>
          <t>Furniture</t>
        </is>
      </c>
      <c r="D12" t="n">
        <v>34.99</v>
      </c>
      <c r="E12" t="n">
        <v>80</v>
      </c>
    </row>
  </sheetData>
  <mergeCells count="3">
    <mergeCell ref="G3:K3"/>
    <mergeCell ref="A3:E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Project Timeline Management</t>
        </is>
      </c>
    </row>
    <row r="3">
      <c r="A3" s="2" t="inlineStr">
        <is>
          <t>Task ID</t>
        </is>
      </c>
      <c r="B3" s="2" t="inlineStr">
        <is>
          <t>Task Name</t>
        </is>
      </c>
      <c r="C3" s="2" t="inlineStr">
        <is>
          <t>Start Date</t>
        </is>
      </c>
      <c r="D3" s="2" t="inlineStr">
        <is>
          <t>End Date</t>
        </is>
      </c>
      <c r="E3" s="2" t="inlineStr">
        <is>
          <t>Duration (Days)</t>
        </is>
      </c>
      <c r="F3" s="2" t="inlineStr">
        <is>
          <t>Days Remaining</t>
        </is>
      </c>
      <c r="G3" s="2" t="inlineStr">
        <is>
          <t>Completion %</t>
        </is>
      </c>
      <c r="H3" s="2" t="inlineStr">
        <is>
          <t>Status</t>
        </is>
      </c>
    </row>
    <row r="4">
      <c r="A4" t="inlineStr">
        <is>
          <t>T001</t>
        </is>
      </c>
      <c r="B4" t="inlineStr">
        <is>
          <t>Requirements Analysis</t>
        </is>
      </c>
      <c r="C4" s="11" t="n">
        <v>46174</v>
      </c>
      <c r="D4" s="11" t="n">
        <v>46188</v>
      </c>
      <c r="E4">
        <f>D4-C4</f>
        <v/>
      </c>
      <c r="F4">
        <f>IF(D4&gt;TODAY(),D4-TODAY(),0)</f>
        <v/>
      </c>
      <c r="G4" s="7">
        <f>IF(TODAY()&lt;C4,0,IF(TODAY()&gt;D4,1,(TODAY()-C4)/(D4-C4)))</f>
        <v/>
      </c>
      <c r="H4">
        <f>IF(TODAY()&lt;C4,"Not Started",IF(TODAY()&gt;D4,"Completed",IF(G4&gt;0.75,"Near Completion","In Progress")))</f>
        <v/>
      </c>
    </row>
    <row r="5">
      <c r="A5" t="inlineStr">
        <is>
          <t>T002</t>
        </is>
      </c>
      <c r="B5" t="inlineStr">
        <is>
          <t>System Design</t>
        </is>
      </c>
      <c r="C5" s="11" t="n">
        <v>46184</v>
      </c>
      <c r="D5" s="11" t="n">
        <v>46209</v>
      </c>
      <c r="E5">
        <f>D5-C5</f>
        <v/>
      </c>
      <c r="F5">
        <f>IF(D5&gt;TODAY(),D5-TODAY(),0)</f>
        <v/>
      </c>
      <c r="G5" s="7">
        <f>IF(TODAY()&lt;C5,0,IF(TODAY()&gt;D5,1,(TODAY()-C5)/(D5-C5)))</f>
        <v/>
      </c>
      <c r="H5">
        <f>IF(TODAY()&lt;C5,"Not Started",IF(TODAY()&gt;D5,"Completed",IF(G5&gt;0.75,"Near Completion","In Progress")))</f>
        <v/>
      </c>
    </row>
    <row r="6">
      <c r="A6" t="inlineStr">
        <is>
          <t>T003</t>
        </is>
      </c>
      <c r="B6" t="inlineStr">
        <is>
          <t>Database Setup</t>
        </is>
      </c>
      <c r="C6" s="11" t="n">
        <v>46204</v>
      </c>
      <c r="D6" s="11" t="n">
        <v>46219</v>
      </c>
      <c r="E6">
        <f>D6-C6</f>
        <v/>
      </c>
      <c r="F6">
        <f>IF(D6&gt;TODAY(),D6-TODAY(),0)</f>
        <v/>
      </c>
      <c r="G6" s="7">
        <f>IF(TODAY()&lt;C6,0,IF(TODAY()&gt;D6,1,(TODAY()-C6)/(D6-C6)))</f>
        <v/>
      </c>
      <c r="H6">
        <f>IF(TODAY()&lt;C6,"Not Started",IF(TODAY()&gt;D6,"Completed",IF(G6&gt;0.75,"Near Completion","In Progress")))</f>
        <v/>
      </c>
    </row>
    <row r="7">
      <c r="A7" t="inlineStr">
        <is>
          <t>T004</t>
        </is>
      </c>
      <c r="B7" t="inlineStr">
        <is>
          <t>API Development</t>
        </is>
      </c>
      <c r="C7" s="11" t="n">
        <v>46214</v>
      </c>
      <c r="D7" s="11" t="n">
        <v>46244</v>
      </c>
      <c r="E7">
        <f>D7-C7</f>
        <v/>
      </c>
      <c r="F7">
        <f>IF(D7&gt;TODAY(),D7-TODAY(),0)</f>
        <v/>
      </c>
      <c r="G7" s="7">
        <f>IF(TODAY()&lt;C7,0,IF(TODAY()&gt;D7,1,(TODAY()-C7)/(D7-C7)))</f>
        <v/>
      </c>
      <c r="H7">
        <f>IF(TODAY()&lt;C7,"Not Started",IF(TODAY()&gt;D7,"Completed",IF(G7&gt;0.75,"Near Completion","In Progress")))</f>
        <v/>
      </c>
    </row>
    <row r="8">
      <c r="A8" t="inlineStr">
        <is>
          <t>T005</t>
        </is>
      </c>
      <c r="B8" t="inlineStr">
        <is>
          <t>Frontend Implementation</t>
        </is>
      </c>
      <c r="C8" s="11" t="n">
        <v>46219</v>
      </c>
      <c r="D8" s="11" t="n">
        <v>46254</v>
      </c>
      <c r="E8">
        <f>D8-C8</f>
        <v/>
      </c>
      <c r="F8">
        <f>IF(D8&gt;TODAY(),D8-TODAY(),0)</f>
        <v/>
      </c>
      <c r="G8" s="7">
        <f>IF(TODAY()&lt;C8,0,IF(TODAY()&gt;D8,1,(TODAY()-C8)/(D8-C8)))</f>
        <v/>
      </c>
      <c r="H8">
        <f>IF(TODAY()&lt;C8,"Not Started",IF(TODAY()&gt;D8,"Completed",IF(G8&gt;0.75,"Near Completion","In Progress")))</f>
        <v/>
      </c>
    </row>
    <row r="9">
      <c r="A9" t="inlineStr">
        <is>
          <t>T006</t>
        </is>
      </c>
      <c r="B9" t="inlineStr">
        <is>
          <t>Testing Phase</t>
        </is>
      </c>
      <c r="C9" s="11" t="n">
        <v>46249</v>
      </c>
      <c r="D9" s="11" t="n">
        <v>46269</v>
      </c>
      <c r="E9">
        <f>D9-C9</f>
        <v/>
      </c>
      <c r="F9">
        <f>IF(D9&gt;TODAY(),D9-TODAY(),0)</f>
        <v/>
      </c>
      <c r="G9" s="7">
        <f>IF(TODAY()&lt;C9,0,IF(TODAY()&gt;D9,1,(TODAY()-C9)/(D9-C9)))</f>
        <v/>
      </c>
      <c r="H9">
        <f>IF(TODAY()&lt;C9,"Not Started",IF(TODAY()&gt;D9,"Completed",IF(G9&gt;0.75,"Near Completion","In Progress")))</f>
        <v/>
      </c>
    </row>
    <row r="10">
      <c r="A10" t="inlineStr">
        <is>
          <t>T007</t>
        </is>
      </c>
      <c r="B10" t="inlineStr">
        <is>
          <t>Deployment</t>
        </is>
      </c>
      <c r="C10" s="11" t="n">
        <v>46264</v>
      </c>
      <c r="D10" s="11" t="n">
        <v>46274</v>
      </c>
      <c r="E10">
        <f>D10-C10</f>
        <v/>
      </c>
      <c r="F10">
        <f>IF(D10&gt;TODAY(),D10-TODAY(),0)</f>
        <v/>
      </c>
      <c r="G10" s="7">
        <f>IF(TODAY()&lt;C10,0,IF(TODAY()&gt;D10,1,(TODAY()-C10)/(D10-C10)))</f>
        <v/>
      </c>
      <c r="H10">
        <f>IF(TODAY()&lt;C10,"Not Started",IF(TODAY()&gt;D10,"Completed",IF(G10&gt;0.75,"Near Completion","In Progress")))</f>
        <v/>
      </c>
    </row>
    <row r="13">
      <c r="A13" s="5" t="inlineStr">
        <is>
          <t>Project Summary</t>
        </is>
      </c>
    </row>
    <row r="14">
      <c r="A14" s="6" t="inlineStr">
        <is>
          <t>Total Tasks</t>
        </is>
      </c>
      <c r="B14" s="6" t="inlineStr">
        <is>
          <t>Completed Tasks</t>
        </is>
      </c>
      <c r="C14" s="6" t="inlineStr">
        <is>
          <t>In Progress Tasks</t>
        </is>
      </c>
      <c r="D14" s="6" t="inlineStr">
        <is>
          <t>Not Started Tasks</t>
        </is>
      </c>
      <c r="E14" s="6" t="inlineStr">
        <is>
          <t>Project Start</t>
        </is>
      </c>
      <c r="F14" s="6" t="inlineStr">
        <is>
          <t>Project End</t>
        </is>
      </c>
      <c r="G14" s="6" t="inlineStr">
        <is>
          <t>Total Duration</t>
        </is>
      </c>
      <c r="H14" s="6" t="inlineStr">
        <is>
          <t>Overall Progress</t>
        </is>
      </c>
    </row>
    <row r="15">
      <c r="A15">
        <f>COUNTA(A4:A10)</f>
        <v/>
      </c>
      <c r="B15">
        <f>COUNTIF(H4:H10,"Completed")</f>
        <v/>
      </c>
      <c r="C15">
        <f>COUNTIF(H4:H10,"In Progress")+COUNTIF(H4:H10,"Near Completion")</f>
        <v/>
      </c>
      <c r="D15">
        <f>COUNTIF(H4:H10,"Not Started")</f>
        <v/>
      </c>
      <c r="E15" s="11">
        <f>MIN(C4:C10)</f>
        <v/>
      </c>
      <c r="F15" s="11">
        <f>MAX(D4:D10)</f>
        <v/>
      </c>
      <c r="G15">
        <f>F15-E15</f>
        <v/>
      </c>
      <c r="H15" s="7">
        <f>AVERAGE(G4:G10)</f>
        <v/>
      </c>
    </row>
  </sheetData>
  <mergeCells count="2"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Advanced Calculation Examples</t>
        </is>
      </c>
    </row>
    <row r="3">
      <c r="A3" s="2" t="inlineStr">
        <is>
          <t>Scenario</t>
        </is>
      </c>
      <c r="B3" s="2" t="inlineStr">
        <is>
          <t>Input A</t>
        </is>
      </c>
      <c r="C3" s="2" t="inlineStr">
        <is>
          <t>Input B</t>
        </is>
      </c>
      <c r="D3" s="2" t="inlineStr">
        <is>
          <t>Input C</t>
        </is>
      </c>
      <c r="E3" s="2" t="inlineStr">
        <is>
          <t>Nested Result</t>
        </is>
      </c>
      <c r="F3" s="2" t="inlineStr">
        <is>
          <t>Array Formula</t>
        </is>
      </c>
      <c r="G3" s="2" t="inlineStr">
        <is>
          <t>Conditional Sum</t>
        </is>
      </c>
      <c r="H3" s="2" t="inlineStr">
        <is>
          <t>Error Handling</t>
        </is>
      </c>
    </row>
    <row r="4">
      <c r="A4" t="inlineStr">
        <is>
          <t>Tax Calculation</t>
        </is>
      </c>
      <c r="B4" t="n">
        <v>50000</v>
      </c>
      <c r="C4" t="n">
        <v>0.25</v>
      </c>
      <c r="D4" t="n">
        <v>12000</v>
      </c>
      <c r="E4">
        <f>IF(AND(B4&gt;10000,C4&gt;0.1),B4*C4+D4,IF(OR(B4&lt;5000,D4=0),"Invalid","Review Required"))</f>
        <v/>
      </c>
      <c r="F4">
        <f>SUMPRODUCT(B4:D4,B4:D4)/1000</f>
        <v/>
      </c>
      <c r="G4">
        <f>IF(B4&gt;C4*100000,SUM(B4:D4),"Below Threshold")</f>
        <v/>
      </c>
      <c r="H4">
        <f>IFERROR(B4/C4/D4,"Division Error - Check Inputs")</f>
        <v/>
      </c>
    </row>
    <row r="5">
      <c r="A5" t="inlineStr">
        <is>
          <t>Loan Payment</t>
        </is>
      </c>
      <c r="B5" t="n">
        <v>300000</v>
      </c>
      <c r="C5" t="n">
        <v>0.045</v>
      </c>
      <c r="D5" t="n">
        <v>360</v>
      </c>
      <c r="E5">
        <f>IF(AND(B5&gt;10000,C5&gt;0.1),B5*C5+D5,IF(OR(B5&lt;5000,D5=0),"Invalid","Review Required"))</f>
        <v/>
      </c>
      <c r="F5">
        <f>SUMPRODUCT(B5:D5,B5:D5)/1000</f>
        <v/>
      </c>
      <c r="G5">
        <f>IF(B5&gt;C5*100000,SUM(B5:D5),"Below Threshold")</f>
        <v/>
      </c>
      <c r="H5">
        <f>IFERROR(B5/C5/D5,"Division Error - Check Inputs")</f>
        <v/>
      </c>
    </row>
    <row r="6">
      <c r="A6" t="inlineStr">
        <is>
          <t>Investment Return</t>
        </is>
      </c>
      <c r="B6" t="n">
        <v>10000</v>
      </c>
      <c r="C6" t="n">
        <v>0.08</v>
      </c>
      <c r="D6" t="n">
        <v>5</v>
      </c>
      <c r="E6">
        <f>IF(AND(B6&gt;10000,C6&gt;0.1),B6*C6+D6,IF(OR(B6&lt;5000,D6=0),"Invalid","Review Required"))</f>
        <v/>
      </c>
      <c r="F6">
        <f>SUMPRODUCT(B6:D6,B6:D6)/1000</f>
        <v/>
      </c>
      <c r="G6">
        <f>IF(B6&gt;C6*100000,SUM(B6:D6),"Below Threshold")</f>
        <v/>
      </c>
      <c r="H6">
        <f>IFERROR(B6/C6/D6,"Division Error - Check Inputs")</f>
        <v/>
      </c>
    </row>
    <row r="7">
      <c r="A7" t="inlineStr">
        <is>
          <t>Depreciation</t>
        </is>
      </c>
      <c r="B7" t="n">
        <v>50000</v>
      </c>
      <c r="C7" t="n">
        <v>0.2</v>
      </c>
      <c r="D7" t="n">
        <v>10</v>
      </c>
      <c r="E7">
        <f>IF(AND(B7&gt;10000,C7&gt;0.1),B7*C7+D7,IF(OR(B7&lt;5000,D7=0),"Invalid","Review Required"))</f>
        <v/>
      </c>
      <c r="F7">
        <f>SUMPRODUCT(B7:D7,B7:D7)/1000</f>
        <v/>
      </c>
      <c r="G7">
        <f>IF(B7&gt;C7*100000,SUM(B7:D7),"Below Threshold")</f>
        <v/>
      </c>
      <c r="H7">
        <f>IFERROR(B7/C7/D7,"Division Error - Check Inputs")</f>
        <v/>
      </c>
    </row>
    <row r="8">
      <c r="A8" t="inlineStr">
        <is>
          <t>Break-even Analysis</t>
        </is>
      </c>
      <c r="B8" t="n">
        <v>150000</v>
      </c>
      <c r="C8" t="n">
        <v>75</v>
      </c>
      <c r="D8" t="n">
        <v>45</v>
      </c>
      <c r="E8">
        <f>IF(AND(B8&gt;10000,C8&gt;0.1),B8*C8+D8,IF(OR(B8&lt;5000,D8=0),"Invalid","Review Required"))</f>
        <v/>
      </c>
      <c r="F8">
        <f>SUMPRODUCT(B8:D8,B8:D8)/1000</f>
        <v/>
      </c>
      <c r="G8">
        <f>IF(B8&gt;C8*100000,SUM(B8:D8),"Below Threshold")</f>
        <v/>
      </c>
      <c r="H8">
        <f>IFERROR(B8/C8/D8,"Division Error - Check Inputs")</f>
        <v/>
      </c>
    </row>
    <row r="9">
      <c r="A9" t="inlineStr">
        <is>
          <t>ROI Analysis</t>
        </is>
      </c>
      <c r="B9" t="n">
        <v>200000</v>
      </c>
      <c r="C9" t="n">
        <v>35000</v>
      </c>
      <c r="D9" t="n">
        <v>0</v>
      </c>
      <c r="E9">
        <f>IF(AND(B9&gt;10000,C9&gt;0.1),B9*C9+D9,IF(OR(B9&lt;5000,D9=0),"Invalid","Review Required"))</f>
        <v/>
      </c>
      <c r="F9">
        <f>SUMPRODUCT(B9:D9,B9:D9)/1000</f>
        <v/>
      </c>
      <c r="G9">
        <f>IF(B9&gt;C9*100000,SUM(B9:D9),"Below Threshold")</f>
        <v/>
      </c>
      <c r="H9">
        <f>IFERROR(B9/C9/D9,"Division Error - Check Inputs")</f>
        <v/>
      </c>
    </row>
    <row r="11">
      <c r="A11" s="5" t="inlineStr">
        <is>
          <t>Text Processing Examples</t>
        </is>
      </c>
    </row>
    <row r="12">
      <c r="A12" s="6" t="inlineStr">
        <is>
          <t>Original Text</t>
        </is>
      </c>
      <c r="B12" s="6" t="inlineStr">
        <is>
          <t>UPPER Case</t>
        </is>
      </c>
      <c r="C12" s="6" t="inlineStr">
        <is>
          <t>LOWER Case</t>
        </is>
      </c>
      <c r="D12" s="6" t="inlineStr">
        <is>
          <t>Proper Case</t>
        </is>
      </c>
      <c r="E12" s="6" t="inlineStr">
        <is>
          <t>Text Length</t>
        </is>
      </c>
      <c r="F12" s="6" t="inlineStr">
        <is>
          <t>Concatenation</t>
        </is>
      </c>
      <c r="G12" s="6" t="inlineStr">
        <is>
          <t>Substring</t>
        </is>
      </c>
      <c r="H12" s="6" t="inlineStr">
        <is>
          <t>Replace</t>
        </is>
      </c>
    </row>
    <row r="13">
      <c r="A13" t="inlineStr">
        <is>
          <t>hello world</t>
        </is>
      </c>
      <c r="B13">
        <f>UPPER(A13)</f>
        <v/>
      </c>
      <c r="C13">
        <f>LOWER(A13)</f>
        <v/>
      </c>
      <c r="D13">
        <f>PROPER(A13)</f>
        <v/>
      </c>
      <c r="E13">
        <f>LEN(A13)</f>
        <v/>
      </c>
      <c r="F13">
        <f>CONCATENATE("Prefix: ",A13," - Suffix")</f>
        <v/>
      </c>
      <c r="G13">
        <f>MID(A13,3,5)</f>
        <v/>
      </c>
      <c r="H13">
        <f>SUBSTITUTE(A13,"a","@")</f>
        <v/>
      </c>
    </row>
    <row r="14">
      <c r="A14" t="inlineStr">
        <is>
          <t>EXCEL FORMULAS</t>
        </is>
      </c>
      <c r="B14">
        <f>UPPER(A14)</f>
        <v/>
      </c>
      <c r="C14">
        <f>LOWER(A14)</f>
        <v/>
      </c>
      <c r="D14">
        <f>PROPER(A14)</f>
        <v/>
      </c>
      <c r="E14">
        <f>LEN(A14)</f>
        <v/>
      </c>
      <c r="F14">
        <f>CONCATENATE("Prefix: ",A14," - Suffix")</f>
        <v/>
      </c>
      <c r="G14">
        <f>MID(A14,3,5)</f>
        <v/>
      </c>
      <c r="H14">
        <f>SUBSTITUTE(A14,"a","@")</f>
        <v/>
      </c>
    </row>
    <row r="15">
      <c r="A15" t="inlineStr">
        <is>
          <t>MiXeD CaSe TeXt</t>
        </is>
      </c>
      <c r="B15">
        <f>UPPER(A15)</f>
        <v/>
      </c>
      <c r="C15">
        <f>LOWER(A15)</f>
        <v/>
      </c>
      <c r="D15">
        <f>PROPER(A15)</f>
        <v/>
      </c>
      <c r="E15">
        <f>LEN(A15)</f>
        <v/>
      </c>
      <c r="F15">
        <f>CONCATENATE("Prefix: ",A15," - Suffix")</f>
        <v/>
      </c>
      <c r="G15">
        <f>MID(A15,3,5)</f>
        <v/>
      </c>
      <c r="H15">
        <f>SUBSTITUTE(A15,"a","@")</f>
        <v/>
      </c>
    </row>
    <row r="16">
      <c r="A16" t="inlineStr">
        <is>
          <t>data analysis</t>
        </is>
      </c>
      <c r="B16">
        <f>UPPER(A16)</f>
        <v/>
      </c>
      <c r="C16">
        <f>LOWER(A16)</f>
        <v/>
      </c>
      <c r="D16">
        <f>PROPER(A16)</f>
        <v/>
      </c>
      <c r="E16">
        <f>LEN(A16)</f>
        <v/>
      </c>
      <c r="F16">
        <f>CONCATENATE("Prefix: ",A16," - Suffix")</f>
        <v/>
      </c>
      <c r="G16">
        <f>MID(A16,3,5)</f>
        <v/>
      </c>
      <c r="H16">
        <f>SUBSTITUTE(A16,"a","@")</f>
        <v/>
      </c>
    </row>
    <row r="17">
      <c r="A17" t="inlineStr">
        <is>
          <t>financial report</t>
        </is>
      </c>
      <c r="B17">
        <f>UPPER(A17)</f>
        <v/>
      </c>
      <c r="C17">
        <f>LOWER(A17)</f>
        <v/>
      </c>
      <c r="D17">
        <f>PROPER(A17)</f>
        <v/>
      </c>
      <c r="E17">
        <f>LEN(A17)</f>
        <v/>
      </c>
      <c r="F17">
        <f>CONCATENATE("Prefix: ",A17," - Suffix")</f>
        <v/>
      </c>
      <c r="G17">
        <f>MID(A17,3,5)</f>
        <v/>
      </c>
      <c r="H17">
        <f>SUBSTITUTE(A17,"a","@")</f>
        <v/>
      </c>
    </row>
  </sheetData>
  <mergeCells count="2"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Statistical Analysis Dataset</t>
        </is>
      </c>
    </row>
    <row r="3">
      <c r="A3" s="2" t="inlineStr">
        <is>
          <t>Dataset</t>
        </is>
      </c>
      <c r="B3" s="2" t="inlineStr">
        <is>
          <t>Value 1</t>
        </is>
      </c>
      <c r="C3" s="2" t="inlineStr">
        <is>
          <t>Value 2</t>
        </is>
      </c>
      <c r="D3" s="2" t="inlineStr">
        <is>
          <t>Value 3</t>
        </is>
      </c>
      <c r="E3" s="2" t="inlineStr">
        <is>
          <t>Value 4</t>
        </is>
      </c>
      <c r="F3" s="2" t="inlineStr">
        <is>
          <t>Value 5</t>
        </is>
      </c>
      <c r="G3" s="2" t="inlineStr">
        <is>
          <t>Value 6</t>
        </is>
      </c>
      <c r="H3" s="2" t="inlineStr">
        <is>
          <t>Value 7</t>
        </is>
      </c>
    </row>
    <row r="4">
      <c r="A4" t="inlineStr">
        <is>
          <t>Temperature Readings</t>
        </is>
      </c>
      <c r="B4" t="n">
        <v>643.03</v>
      </c>
      <c r="C4" t="n">
        <v>34.76</v>
      </c>
      <c r="D4" t="n">
        <v>282.28</v>
      </c>
      <c r="E4" t="n">
        <v>230.98</v>
      </c>
      <c r="F4" t="n">
        <v>739.11</v>
      </c>
      <c r="G4" t="n">
        <v>679.9299999999999</v>
      </c>
      <c r="H4" t="n">
        <v>893.26</v>
      </c>
    </row>
    <row r="5">
      <c r="A5" t="inlineStr">
        <is>
          <t>Stock Prices</t>
        </is>
      </c>
      <c r="B5" t="n">
        <v>96.06999999999999</v>
      </c>
      <c r="C5" t="n">
        <v>427.7</v>
      </c>
      <c r="D5" t="n">
        <v>39.5</v>
      </c>
      <c r="E5" t="n">
        <v>226.45</v>
      </c>
      <c r="F5" t="n">
        <v>510.3</v>
      </c>
      <c r="G5" t="n">
        <v>36.27</v>
      </c>
      <c r="H5" t="n">
        <v>206.85</v>
      </c>
    </row>
    <row r="6">
      <c r="A6" t="inlineStr">
        <is>
          <t>Test Scores</t>
        </is>
      </c>
      <c r="B6" t="n">
        <v>653.39</v>
      </c>
      <c r="C6" t="n">
        <v>549.49</v>
      </c>
      <c r="D6" t="n">
        <v>228.24</v>
      </c>
      <c r="E6" t="n">
        <v>593.37</v>
      </c>
      <c r="F6" t="n">
        <v>811.34</v>
      </c>
      <c r="G6" t="n">
        <v>16.43</v>
      </c>
      <c r="H6" t="n">
        <v>807.76</v>
      </c>
    </row>
    <row r="7">
      <c r="A7" t="inlineStr">
        <is>
          <t>Response Times</t>
        </is>
      </c>
      <c r="B7" t="n">
        <v>701.16</v>
      </c>
      <c r="C7" t="n">
        <v>346.85</v>
      </c>
      <c r="D7" t="n">
        <v>163.92</v>
      </c>
      <c r="E7" t="n">
        <v>957.64</v>
      </c>
      <c r="F7" t="n">
        <v>343.23</v>
      </c>
      <c r="G7" t="n">
        <v>101.82</v>
      </c>
      <c r="H7" t="n">
        <v>105.75</v>
      </c>
    </row>
    <row r="8">
      <c r="A8" t="inlineStr">
        <is>
          <t>Sales Figures</t>
        </is>
      </c>
      <c r="B8" t="n">
        <v>849.02</v>
      </c>
      <c r="C8" t="n">
        <v>607.6900000000001</v>
      </c>
      <c r="D8" t="n">
        <v>809.0599999999999</v>
      </c>
      <c r="E8" t="n">
        <v>732.4299999999999</v>
      </c>
      <c r="F8" t="n">
        <v>540.87</v>
      </c>
      <c r="G8" t="n">
        <v>973.38</v>
      </c>
      <c r="H8" t="n">
        <v>384.75</v>
      </c>
    </row>
    <row r="9">
      <c r="A9" t="inlineStr">
        <is>
          <t>Error Rates</t>
        </is>
      </c>
      <c r="B9" t="n">
        <v>556.52</v>
      </c>
      <c r="C9" t="n">
        <v>831.11</v>
      </c>
      <c r="D9" t="n">
        <v>622.33</v>
      </c>
      <c r="E9" t="n">
        <v>863.09</v>
      </c>
      <c r="F9" t="n">
        <v>581.58</v>
      </c>
      <c r="G9" t="n">
        <v>707.53</v>
      </c>
      <c r="H9" t="n">
        <v>55.37</v>
      </c>
    </row>
    <row r="10">
      <c r="A10" t="inlineStr">
        <is>
          <t>User Ratings</t>
        </is>
      </c>
      <c r="B10" t="n">
        <v>235.62</v>
      </c>
      <c r="C10" t="n">
        <v>296.49</v>
      </c>
      <c r="D10" t="n">
        <v>88.98999999999999</v>
      </c>
      <c r="E10" t="n">
        <v>240.46</v>
      </c>
      <c r="F10" t="n">
        <v>109.99</v>
      </c>
      <c r="G10" t="n">
        <v>285.19</v>
      </c>
      <c r="H10" t="n">
        <v>639.33</v>
      </c>
    </row>
    <row r="11">
      <c r="A11" t="inlineStr">
        <is>
          <t>Load Times</t>
        </is>
      </c>
      <c r="B11" t="n">
        <v>371.18</v>
      </c>
      <c r="C11" t="n">
        <v>376.48</v>
      </c>
      <c r="D11" t="n">
        <v>217.41</v>
      </c>
      <c r="E11" t="n">
        <v>274.31</v>
      </c>
      <c r="F11" t="n">
        <v>937.29</v>
      </c>
      <c r="G11" t="n">
        <v>651.5599999999999</v>
      </c>
      <c r="H11" t="n">
        <v>613.04</v>
      </c>
    </row>
    <row r="13">
      <c r="A13" s="5" t="inlineStr">
        <is>
          <t>Statistical Calculations</t>
        </is>
      </c>
    </row>
    <row r="14">
      <c r="A14" s="6" t="inlineStr">
        <is>
          <t>SUM</t>
        </is>
      </c>
      <c r="B14">
        <f>SUM(B4:B11)</f>
        <v/>
      </c>
      <c r="C14">
        <f>SUM(C4:C11)</f>
        <v/>
      </c>
      <c r="D14">
        <f>SUM(D4:D11)</f>
        <v/>
      </c>
      <c r="E14">
        <f>SUM(E4:E11)</f>
        <v/>
      </c>
      <c r="F14">
        <f>SUM(F4:F11)</f>
        <v/>
      </c>
      <c r="G14">
        <f>SUM(G4:G11)</f>
        <v/>
      </c>
      <c r="H14">
        <f>SUM(H4:H11)</f>
        <v/>
      </c>
    </row>
    <row r="15">
      <c r="A15" s="6" t="inlineStr">
        <is>
          <t>AVERAGE</t>
        </is>
      </c>
      <c r="B15">
        <f>AVERAGE(B4:B11)</f>
        <v/>
      </c>
      <c r="C15">
        <f>AVERAGE(C4:C11)</f>
        <v/>
      </c>
      <c r="D15">
        <f>AVERAGE(D4:D11)</f>
        <v/>
      </c>
      <c r="E15">
        <f>AVERAGE(E4:E11)</f>
        <v/>
      </c>
      <c r="F15">
        <f>AVERAGE(F4:F11)</f>
        <v/>
      </c>
      <c r="G15">
        <f>AVERAGE(G4:G11)</f>
        <v/>
      </c>
      <c r="H15">
        <f>AVERAGE(H4:H11)</f>
        <v/>
      </c>
    </row>
    <row r="16">
      <c r="A16" s="6" t="inlineStr">
        <is>
          <t>MEDIAN</t>
        </is>
      </c>
      <c r="B16">
        <f>MEDIAN(B4:B11)</f>
        <v/>
      </c>
      <c r="C16">
        <f>MEDIAN(C4:C11)</f>
        <v/>
      </c>
      <c r="D16">
        <f>MEDIAN(D4:D11)</f>
        <v/>
      </c>
      <c r="E16">
        <f>MEDIAN(E4:E11)</f>
        <v/>
      </c>
      <c r="F16">
        <f>MEDIAN(F4:F11)</f>
        <v/>
      </c>
      <c r="G16">
        <f>MEDIAN(G4:G11)</f>
        <v/>
      </c>
      <c r="H16">
        <f>MEDIAN(H4:H11)</f>
        <v/>
      </c>
    </row>
    <row r="17">
      <c r="A17" s="6" t="inlineStr">
        <is>
          <t>MODE</t>
        </is>
      </c>
      <c r="B17">
        <f>MODE.SNGL(B4:B11)</f>
        <v/>
      </c>
      <c r="C17">
        <f>MODE.SNGL(C4:C11)</f>
        <v/>
      </c>
      <c r="D17">
        <f>MODE.SNGL(D4:D11)</f>
        <v/>
      </c>
      <c r="E17">
        <f>MODE.SNGL(E4:E11)</f>
        <v/>
      </c>
      <c r="F17">
        <f>MODE.SNGL(F4:F11)</f>
        <v/>
      </c>
      <c r="G17">
        <f>MODE.SNGL(G4:G11)</f>
        <v/>
      </c>
      <c r="H17">
        <f>MODE.SNGL(H4:H11)</f>
        <v/>
      </c>
    </row>
    <row r="18">
      <c r="A18" s="6" t="inlineStr">
        <is>
          <t>STDEV</t>
        </is>
      </c>
      <c r="B18">
        <f>STDEV.S(B4:B11)</f>
        <v/>
      </c>
      <c r="C18">
        <f>STDEV.S(C4:C11)</f>
        <v/>
      </c>
      <c r="D18">
        <f>STDEV.S(D4:D11)</f>
        <v/>
      </c>
      <c r="E18">
        <f>STDEV.S(E4:E11)</f>
        <v/>
      </c>
      <c r="F18">
        <f>STDEV.S(F4:F11)</f>
        <v/>
      </c>
      <c r="G18">
        <f>STDEV.S(G4:G11)</f>
        <v/>
      </c>
      <c r="H18">
        <f>STDEV.S(H4:H11)</f>
        <v/>
      </c>
    </row>
    <row r="19">
      <c r="A19" s="6" t="inlineStr">
        <is>
          <t>VAR</t>
        </is>
      </c>
      <c r="B19">
        <f>VAR.S(B4:B11)</f>
        <v/>
      </c>
      <c r="C19">
        <f>VAR.S(C4:C11)</f>
        <v/>
      </c>
      <c r="D19">
        <f>VAR.S(D4:D11)</f>
        <v/>
      </c>
      <c r="E19">
        <f>VAR.S(E4:E11)</f>
        <v/>
      </c>
      <c r="F19">
        <f>VAR.S(F4:F11)</f>
        <v/>
      </c>
      <c r="G19">
        <f>VAR.S(G4:G11)</f>
        <v/>
      </c>
      <c r="H19">
        <f>VAR.S(H4:H11)</f>
        <v/>
      </c>
    </row>
    <row r="20">
      <c r="A20" s="6" t="inlineStr">
        <is>
          <t>MIN</t>
        </is>
      </c>
      <c r="B20">
        <f>MIN(B4:B11)</f>
        <v/>
      </c>
      <c r="C20">
        <f>MIN(C4:C11)</f>
        <v/>
      </c>
      <c r="D20">
        <f>MIN(D4:D11)</f>
        <v/>
      </c>
      <c r="E20">
        <f>MIN(E4:E11)</f>
        <v/>
      </c>
      <c r="F20">
        <f>MIN(F4:F11)</f>
        <v/>
      </c>
      <c r="G20">
        <f>MIN(G4:G11)</f>
        <v/>
      </c>
      <c r="H20">
        <f>MIN(H4:H11)</f>
        <v/>
      </c>
    </row>
    <row r="21">
      <c r="A21" s="6" t="inlineStr">
        <is>
          <t>MAX</t>
        </is>
      </c>
      <c r="B21">
        <f>MAX(B4:B11)</f>
        <v/>
      </c>
      <c r="C21">
        <f>MAX(C4:C11)</f>
        <v/>
      </c>
      <c r="D21">
        <f>MAX(D4:D11)</f>
        <v/>
      </c>
      <c r="E21">
        <f>MAX(E4:E11)</f>
        <v/>
      </c>
      <c r="F21">
        <f>MAX(F4:F11)</f>
        <v/>
      </c>
      <c r="G21">
        <f>MAX(G4:G11)</f>
        <v/>
      </c>
      <c r="H21">
        <f>MAX(H4:H11)</f>
        <v/>
      </c>
    </row>
    <row r="22">
      <c r="A22" s="6" t="inlineStr">
        <is>
          <t>COUNT</t>
        </is>
      </c>
      <c r="B22">
        <f>COUNT(B4:B11)</f>
        <v/>
      </c>
      <c r="C22">
        <f>COUNT(C4:C11)</f>
        <v/>
      </c>
      <c r="D22">
        <f>COUNT(D4:D11)</f>
        <v/>
      </c>
      <c r="E22">
        <f>COUNT(E4:E11)</f>
        <v/>
      </c>
      <c r="F22">
        <f>COUNT(F4:F11)</f>
        <v/>
      </c>
      <c r="G22">
        <f>COUNT(G4:G11)</f>
        <v/>
      </c>
      <c r="H22">
        <f>COUNT(H4:H11)</f>
        <v/>
      </c>
    </row>
    <row r="23">
      <c r="A23" s="6" t="inlineStr">
        <is>
          <t>COUNTA</t>
        </is>
      </c>
      <c r="B23">
        <f>COUNTA(B4:B11)</f>
        <v/>
      </c>
      <c r="C23">
        <f>COUNTA(C4:C11)</f>
        <v/>
      </c>
      <c r="D23">
        <f>COUNTA(D4:D11)</f>
        <v/>
      </c>
      <c r="E23">
        <f>COUNTA(E4:E11)</f>
        <v/>
      </c>
      <c r="F23">
        <f>COUNTA(F4:F11)</f>
        <v/>
      </c>
      <c r="G23">
        <f>COUNTA(G4:G11)</f>
        <v/>
      </c>
      <c r="H23">
        <f>COUNTA(H4:H11)</f>
        <v/>
      </c>
    </row>
    <row r="24">
      <c r="A24" s="6" t="inlineStr">
        <is>
          <t>PRODUCT</t>
        </is>
      </c>
      <c r="B24">
        <f>PRODUCT(B4:B11)</f>
        <v/>
      </c>
      <c r="C24">
        <f>PRODUCT(C4:C11)</f>
        <v/>
      </c>
      <c r="D24">
        <f>PRODUCT(D4:D11)</f>
        <v/>
      </c>
      <c r="E24">
        <f>PRODUCT(E4:E11)</f>
        <v/>
      </c>
      <c r="F24">
        <f>PRODUCT(F4:F11)</f>
        <v/>
      </c>
      <c r="G24">
        <f>PRODUCT(G4:G11)</f>
        <v/>
      </c>
      <c r="H24">
        <f>PRODUCT(H4:H11)</f>
        <v/>
      </c>
    </row>
    <row r="25">
      <c r="A25" s="6" t="inlineStr">
        <is>
          <t>POWER</t>
        </is>
      </c>
      <c r="B25">
        <f>POWER(B4,2)</f>
        <v/>
      </c>
      <c r="C25">
        <f>POWER(C4,2)</f>
        <v/>
      </c>
      <c r="D25">
        <f>POWER(D4,2)</f>
        <v/>
      </c>
      <c r="E25">
        <f>POWER(E4,2)</f>
        <v/>
      </c>
      <c r="F25">
        <f>POWER(F4,2)</f>
        <v/>
      </c>
      <c r="G25">
        <f>POWER(G4,2)</f>
        <v/>
      </c>
      <c r="H25">
        <f>POWER(H4,2)</f>
        <v/>
      </c>
    </row>
    <row r="26">
      <c r="A26" s="6" t="inlineStr">
        <is>
          <t>SQRT</t>
        </is>
      </c>
      <c r="B26">
        <f>SQRT(B4)</f>
        <v/>
      </c>
      <c r="C26">
        <f>SQRT(C4)</f>
        <v/>
      </c>
      <c r="D26">
        <f>SQRT(D4)</f>
        <v/>
      </c>
      <c r="E26">
        <f>SQRT(E4)</f>
        <v/>
      </c>
      <c r="F26">
        <f>SQRT(F4)</f>
        <v/>
      </c>
      <c r="G26">
        <f>SQRT(G4)</f>
        <v/>
      </c>
      <c r="H26">
        <f>SQRT(H4)</f>
        <v/>
      </c>
    </row>
    <row r="27">
      <c r="A27" s="6" t="inlineStr">
        <is>
          <t>LOG</t>
        </is>
      </c>
      <c r="B27">
        <f>LOG10(B4)</f>
        <v/>
      </c>
      <c r="C27">
        <f>LOG10(C4)</f>
        <v/>
      </c>
      <c r="D27">
        <f>LOG10(D4)</f>
        <v/>
      </c>
      <c r="E27">
        <f>LOG10(E4)</f>
        <v/>
      </c>
      <c r="F27">
        <f>LOG10(F4)</f>
        <v/>
      </c>
      <c r="G27">
        <f>LOG10(G4)</f>
        <v/>
      </c>
      <c r="H27">
        <f>LOG10(H4)</f>
        <v/>
      </c>
    </row>
    <row r="28">
      <c r="A28" s="6" t="inlineStr">
        <is>
          <t>EXP</t>
        </is>
      </c>
      <c r="B28">
        <f>EXP(B4/100)</f>
        <v/>
      </c>
      <c r="C28">
        <f>EXP(C4/100)</f>
        <v/>
      </c>
      <c r="D28">
        <f>EXP(D4/100)</f>
        <v/>
      </c>
      <c r="E28">
        <f>EXP(E4/100)</f>
        <v/>
      </c>
      <c r="F28">
        <f>EXP(F4/100)</f>
        <v/>
      </c>
      <c r="G28">
        <f>EXP(G4/100)</f>
        <v/>
      </c>
      <c r="H28">
        <f>EXP(H4/100)</f>
        <v/>
      </c>
    </row>
    <row r="29">
      <c r="A29" s="6" t="inlineStr">
        <is>
          <t>ROUND</t>
        </is>
      </c>
      <c r="B29">
        <f>ROUND(B4,0)</f>
        <v/>
      </c>
      <c r="C29">
        <f>ROUND(C4,0)</f>
        <v/>
      </c>
      <c r="D29">
        <f>ROUND(D4,0)</f>
        <v/>
      </c>
      <c r="E29">
        <f>ROUND(E4,0)</f>
        <v/>
      </c>
      <c r="F29">
        <f>ROUND(F4,0)</f>
        <v/>
      </c>
      <c r="G29">
        <f>ROUND(G4,0)</f>
        <v/>
      </c>
      <c r="H29">
        <f>ROUND(H4,0)</f>
        <v/>
      </c>
    </row>
  </sheetData>
  <mergeCells count="2"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2026-06-14T03:15:16Z</dcterms:created>
  <dcterms:modified xmlns:dcterms="http://purl.org/dc/terms/" xmlns:xsi="http://www.w3.org/2001/XMLSchema-instance" xsi:type="dcterms:W3CDTF">2026-06-14T03:15:16Z</dcterms:modified>
</cp:coreProperties>
</file>